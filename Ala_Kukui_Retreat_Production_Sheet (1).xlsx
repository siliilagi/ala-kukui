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eat Production" sheetId="1" state="visible" r:id="rId1"/>
  </sheets>
  <definedNames>
    <definedName name="_xlnm.Print_Area" localSheetId="0">'Retreat Production'!$A$1:$J$76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MMMM D, YYYY"/>
    <numFmt numFmtId="165" formatCode="&quot;$&quot;#,##0"/>
    <numFmt numFmtId="166" formatCode="M/D/YYYY"/>
    <numFmt numFmtId="167" formatCode="&quot;$&quot;#,##0.00"/>
  </numFmts>
  <fonts count="17">
    <font>
      <name val="Calibri"/>
      <family val="2"/>
      <color theme="1"/>
      <sz val="11"/>
      <scheme val="minor"/>
    </font>
    <font>
      <name val="Arial"/>
      <color rgb="00BBBBBB"/>
      <sz val="7"/>
    </font>
    <font>
      <name val="Arial"/>
      <b val="1"/>
      <color rgb="002C2A26"/>
      <sz val="16"/>
    </font>
    <font>
      <name val="Arial"/>
      <i val="1"/>
      <color rgb="006E6A62"/>
      <sz val="8"/>
    </font>
    <font>
      <name val="Arial"/>
      <color rgb="002C2A26"/>
      <sz val="9"/>
    </font>
    <font>
      <name val="Arial"/>
      <b val="1"/>
      <color rgb="002C2A26"/>
      <sz val="9"/>
    </font>
    <font>
      <name val="Arial"/>
      <b val="1"/>
      <color rgb="00FFFFFF"/>
      <sz val="8"/>
    </font>
    <font>
      <name val="Arial"/>
      <b val="1"/>
      <color rgb="002C2A26"/>
      <sz val="11"/>
    </font>
    <font>
      <name val="Arial"/>
      <b val="1"/>
      <color rgb="002C2A26"/>
      <sz val="8"/>
    </font>
    <font>
      <name val="Arial"/>
      <color rgb="002C2A26"/>
      <sz val="11"/>
    </font>
    <font>
      <name val="Arial"/>
      <i val="1"/>
      <color rgb="002C2A26"/>
      <sz val="8"/>
    </font>
    <font>
      <name val="Arial"/>
      <b val="1"/>
      <color rgb="002C2A26"/>
      <sz val="10"/>
    </font>
    <font>
      <name val="Arial"/>
      <b val="1"/>
      <color rgb="002C2A26"/>
      <sz val="13"/>
    </font>
    <font>
      <name val="Arial"/>
      <i val="1"/>
      <color rgb="009E9088"/>
      <sz val="7"/>
    </font>
    <font>
      <name val="Arial"/>
      <b val="1"/>
      <color rgb="00FFFFFF"/>
      <sz val="7"/>
    </font>
    <font>
      <name val="Arial"/>
      <i val="1"/>
      <color rgb="002C2A26"/>
      <sz val="7"/>
    </font>
    <font>
      <name val="Arial"/>
      <color rgb="002C2A26"/>
      <sz val="8"/>
    </font>
  </fonts>
  <fills count="6">
    <fill>
      <patternFill/>
    </fill>
    <fill>
      <patternFill patternType="gray125"/>
    </fill>
    <fill>
      <patternFill patternType="solid">
        <fgColor rgb="00F7EDE3"/>
      </patternFill>
    </fill>
    <fill>
      <patternFill patternType="solid">
        <fgColor rgb="00FCB040"/>
      </patternFill>
    </fill>
    <fill>
      <patternFill patternType="solid">
        <fgColor rgb="006E6A62"/>
      </patternFill>
    </fill>
    <fill>
      <patternFill patternType="solid"/>
    </fill>
  </fills>
  <borders count="10">
    <border>
      <left/>
      <right/>
      <top/>
      <bottom/>
      <diagonal/>
    </border>
    <border>
      <right style="thin">
        <color rgb="00D0C4B4"/>
      </right>
      <bottom style="thin">
        <color rgb="00D0C4B4"/>
      </bottom>
    </border>
    <border/>
    <border>
      <left/>
      <right style="thin">
        <color rgb="00D0C4B4"/>
      </right>
      <top/>
      <bottom/>
      <diagonal/>
    </border>
    <border>
      <left/>
      <right/>
      <top/>
      <bottom style="thin">
        <color rgb="00D0C4B4"/>
      </bottom>
      <diagonal/>
    </border>
    <border>
      <left/>
      <right style="thin">
        <color rgb="00D0C4B4"/>
      </right>
      <top/>
      <bottom style="thin">
        <color rgb="00D0C4B4"/>
      </bottom>
      <diagonal/>
    </border>
    <border>
      <bottom style="medium">
        <color rgb="00C8B49A"/>
      </bottom>
    </border>
    <border>
      <right style="thin">
        <color rgb="00D0C4B4"/>
      </right>
      <bottom style="medium">
        <color rgb="00C8B49A"/>
      </bottom>
    </border>
    <border>
      <left/>
      <right/>
      <top/>
      <bottom style="medium">
        <color rgb="00C8B49A"/>
      </bottom>
      <diagonal/>
    </border>
    <border>
      <left/>
      <right style="thin">
        <color rgb="00D0C4B4"/>
      </right>
      <top/>
      <bottom style="medium">
        <color rgb="00C8B49A"/>
      </bottom>
      <diagonal/>
    </border>
  </borders>
  <cellStyleXfs count="1">
    <xf numFmtId="0" fontId="0" fillId="0" borderId="0"/>
  </cellStyleXfs>
  <cellXfs count="55">
    <xf numFmtId="0" fontId="0" fillId="0" borderId="0" pivotButton="0" quotePrefix="0" xfId="0"/>
    <xf numFmtId="0" fontId="0" fillId="2" borderId="2" pivotButton="0" quotePrefix="0" xfId="0"/>
    <xf numFmtId="0" fontId="1" fillId="0" borderId="0" pivotButton="0" quotePrefix="0" xfId="0"/>
    <xf numFmtId="0" fontId="0" fillId="2" borderId="1" pivotButton="0" quotePrefix="0" xfId="0"/>
    <xf numFmtId="0" fontId="2" fillId="2" borderId="2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3" fillId="2" borderId="2" applyAlignment="1" pivotButton="0" quotePrefix="0" xfId="0">
      <alignment horizontal="left" vertical="center"/>
    </xf>
    <xf numFmtId="0" fontId="0" fillId="3" borderId="2" pivotButton="0" quotePrefix="0" xfId="0"/>
    <xf numFmtId="0" fontId="3" fillId="2" borderId="1" applyAlignment="1" pivotButton="0" quotePrefix="0" xfId="0">
      <alignment horizontal="right" vertical="center"/>
    </xf>
    <xf numFmtId="0" fontId="4" fillId="2" borderId="1" applyAlignment="1" pivotButton="0" quotePrefix="0" xfId="0">
      <alignment horizontal="left" vertical="center"/>
    </xf>
    <xf numFmtId="0" fontId="5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left" vertical="center" wrapText="1"/>
    </xf>
    <xf numFmtId="0" fontId="6" fillId="3" borderId="6" applyAlignment="1" pivotButton="0" quotePrefix="0" xfId="0">
      <alignment horizontal="left" vertical="center" indent="1"/>
    </xf>
    <xf numFmtId="164" fontId="4" fillId="2" borderId="1" applyAlignment="1" pivotButton="0" quotePrefix="0" xfId="0">
      <alignment horizontal="left" vertical="center"/>
    </xf>
    <xf numFmtId="1" fontId="7" fillId="2" borderId="1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/>
    </xf>
    <xf numFmtId="0" fontId="8" fillId="2" borderId="1" applyAlignment="1" pivotButton="0" quotePrefix="0" xfId="0">
      <alignment horizontal="left" vertical="center"/>
    </xf>
    <xf numFmtId="0" fontId="8" fillId="2" borderId="1" applyAlignment="1" pivotButton="0" quotePrefix="0" xfId="0">
      <alignment horizontal="right" vertical="center"/>
    </xf>
    <xf numFmtId="0" fontId="9" fillId="2" borderId="1" applyAlignment="1" pivotButton="0" quotePrefix="0" xfId="0">
      <alignment horizontal="center" vertical="center"/>
    </xf>
    <xf numFmtId="1" fontId="4" fillId="2" borderId="1" applyAlignment="1" pivotButton="0" quotePrefix="0" xfId="0">
      <alignment horizontal="center" vertical="center"/>
    </xf>
    <xf numFmtId="165" fontId="4" fillId="2" borderId="1" applyAlignment="1" pivotButton="0" quotePrefix="0" xfId="0">
      <alignment horizontal="right" vertical="center"/>
    </xf>
    <xf numFmtId="165" fontId="5" fillId="2" borderId="1" applyAlignment="1" pivotButton="0" quotePrefix="0" xfId="0">
      <alignment horizontal="right" vertical="center"/>
    </xf>
    <xf numFmtId="0" fontId="10" fillId="2" borderId="1" applyAlignment="1" pivotButton="0" quotePrefix="0" xfId="0">
      <alignment horizontal="left" vertical="top" wrapText="1"/>
    </xf>
    <xf numFmtId="0" fontId="10" fillId="2" borderId="1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right" vertical="center"/>
    </xf>
    <xf numFmtId="0" fontId="3" fillId="2" borderId="1" applyAlignment="1" pivotButton="0" quotePrefix="0" xfId="0">
      <alignment horizontal="right" vertical="center"/>
    </xf>
    <xf numFmtId="1" fontId="11" fillId="2" borderId="1" applyAlignment="1" pivotButton="0" quotePrefix="0" xfId="0">
      <alignment horizontal="center" vertical="center"/>
    </xf>
    <xf numFmtId="0" fontId="11" fillId="2" borderId="1" applyAlignment="1" pivotButton="0" quotePrefix="0" xfId="0">
      <alignment horizontal="right" vertical="center"/>
    </xf>
    <xf numFmtId="165" fontId="12" fillId="2" borderId="1" applyAlignment="1" pivotButton="0" quotePrefix="0" xfId="0">
      <alignment horizontal="right" vertical="center"/>
    </xf>
    <xf numFmtId="165" fontId="4" fillId="2" borderId="1" applyAlignment="1" pivotButton="0" quotePrefix="0" xfId="0">
      <alignment horizontal="left" vertical="center"/>
    </xf>
    <xf numFmtId="166" fontId="4" fillId="2" borderId="1" applyAlignment="1" pivotButton="0" quotePrefix="0" xfId="0">
      <alignment horizontal="center" vertical="center"/>
    </xf>
    <xf numFmtId="166" fontId="4" fillId="2" borderId="1" applyAlignment="1" pivotButton="0" quotePrefix="0" xfId="0">
      <alignment horizontal="left" vertical="center"/>
    </xf>
    <xf numFmtId="0" fontId="13" fillId="2" borderId="2" applyAlignment="1" pivotButton="0" quotePrefix="0" xfId="0">
      <alignment horizontal="center" vertical="center"/>
    </xf>
    <xf numFmtId="0" fontId="2" fillId="2" borderId="1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/>
    </xf>
    <xf numFmtId="0" fontId="6" fillId="3" borderId="7" applyAlignment="1" pivotButton="0" quotePrefix="0" xfId="0">
      <alignment horizontal="left" vertical="center" indent="1"/>
    </xf>
    <xf numFmtId="0" fontId="0" fillId="0" borderId="8" pivotButton="0" quotePrefix="0" xfId="0"/>
    <xf numFmtId="0" fontId="0" fillId="0" borderId="9" pivotButton="0" quotePrefix="0" xfId="0"/>
    <xf numFmtId="0" fontId="14" fillId="4" borderId="1" applyAlignment="1" pivotButton="0" quotePrefix="0" xfId="0">
      <alignment horizontal="center" vertical="center" wrapText="1"/>
    </xf>
    <xf numFmtId="0" fontId="14" fillId="4" borderId="1" applyAlignment="1" pivotButton="0" quotePrefix="0" xfId="0">
      <alignment horizontal="center" vertical="center"/>
    </xf>
    <xf numFmtId="0" fontId="15" fillId="2" borderId="1" applyAlignment="1" pivotButton="0" quotePrefix="0" xfId="0">
      <alignment horizontal="center" vertical="center"/>
    </xf>
    <xf numFmtId="164" fontId="16" fillId="2" borderId="1" applyAlignment="1" pivotButton="0" quotePrefix="0" xfId="0">
      <alignment horizontal="left" vertical="center"/>
    </xf>
    <xf numFmtId="0" fontId="16" fillId="2" borderId="1" applyAlignment="1" pivotButton="0" quotePrefix="0" xfId="0">
      <alignment horizontal="left" vertical="center"/>
    </xf>
    <xf numFmtId="1" fontId="16" fillId="2" borderId="1" applyAlignment="1" pivotButton="0" quotePrefix="0" xfId="0">
      <alignment horizontal="left" vertical="center"/>
    </xf>
    <xf numFmtId="167" fontId="16" fillId="2" borderId="1" applyAlignment="1" pivotButton="0" quotePrefix="0" xfId="0">
      <alignment horizontal="left" vertical="center"/>
    </xf>
    <xf numFmtId="166" fontId="16" fillId="2" borderId="1" applyAlignment="1" pivotButton="0" quotePrefix="0" xfId="0">
      <alignment horizontal="left" vertical="center"/>
    </xf>
    <xf numFmtId="0" fontId="9" fillId="2" borderId="1" applyAlignment="1" pivotButton="0" quotePrefix="0" xfId="0">
      <alignment horizontal="left" vertical="center"/>
    </xf>
    <xf numFmtId="0" fontId="15" fillId="2" borderId="1" applyAlignment="1" pivotButton="0" quotePrefix="0" xfId="0">
      <alignment horizontal="center" vertical="center"/>
    </xf>
    <xf numFmtId="1" fontId="16" fillId="2" borderId="1" applyAlignment="1" pivotButton="0" quotePrefix="0" xfId="0">
      <alignment horizontal="left" vertical="center"/>
    </xf>
    <xf numFmtId="0" fontId="16" fillId="2" borderId="1" applyAlignment="1" pivotButton="0" quotePrefix="0" xfId="0">
      <alignment horizontal="left" vertical="center"/>
    </xf>
    <xf numFmtId="167" fontId="16" fillId="2" borderId="1" applyAlignment="1" pivotButton="0" quotePrefix="0" xfId="0">
      <alignment horizontal="left" vertical="center"/>
    </xf>
    <xf numFmtId="166" fontId="16" fillId="2" borderId="1" applyAlignment="1" pivotButton="0" quotePrefix="0" xfId="0">
      <alignment horizontal="left" vertical="center"/>
    </xf>
    <xf numFmtId="0" fontId="13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J77"/>
  <sheetViews>
    <sheetView showGridLines="0" workbookViewId="0">
      <pane xSplit="2" ySplit="7" topLeftCell="C8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.5" customWidth="1" min="1" max="1"/>
    <col width="12" customWidth="1" min="2" max="2"/>
    <col width="12" customWidth="1" min="3" max="3"/>
    <col width="14" customWidth="1" min="4" max="4"/>
    <col width="14" customWidth="1" min="5" max="5"/>
    <col width="12" customWidth="1" min="6" max="6"/>
    <col width="12" customWidth="1" min="7" max="7"/>
    <col width="16" customWidth="1" min="8" max="8"/>
    <col width="14" customWidth="1" min="9" max="9"/>
    <col width="14" customWidth="1" min="10" max="10"/>
    <col hidden="1" width="8" customWidth="1" min="11" max="11"/>
    <col hidden="1" width="12" customWidth="1" min="12" max="12"/>
    <col width="20" customWidth="1" min="13" max="13"/>
    <col width="14" customWidth="1" min="14" max="14"/>
    <col width="18" customWidth="1" min="15" max="15"/>
    <col width="8" customWidth="1" min="16" max="16"/>
    <col width="12" customWidth="1" min="17" max="17"/>
    <col width="12" customWidth="1" min="18" max="18"/>
    <col width="8" customWidth="1" min="19" max="19"/>
    <col width="14" customWidth="1" min="20" max="20"/>
    <col width="8" customWidth="1" min="21" max="21"/>
    <col width="11" customWidth="1" min="22" max="22"/>
    <col width="7" customWidth="1" min="23" max="23"/>
    <col width="9" customWidth="1" min="24" max="24"/>
    <col width="12" customWidth="1" min="25" max="25"/>
    <col width="10" customWidth="1" min="26" max="26"/>
    <col width="9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8" customWidth="1" min="34" max="34"/>
    <col width="8" customWidth="1" min="35" max="35"/>
    <col width="28" customWidth="1" min="36" max="36"/>
    <col width="13" customWidth="1" min="37" max="37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2" t="inlineStr">
        <is>
          <t>Non-Profit</t>
        </is>
      </c>
      <c r="L1" s="2" t="inlineStr">
        <is>
          <t>Corporate</t>
        </is>
      </c>
    </row>
    <row r="2" ht="24" customHeight="1">
      <c r="A2" s="3" t="n"/>
      <c r="B2" s="35" t="inlineStr">
        <is>
          <t>RETREAT PRODUCTION</t>
        </is>
      </c>
      <c r="C2" s="5" t="n"/>
      <c r="D2" s="5" t="n"/>
      <c r="E2" s="5" t="n"/>
      <c r="F2" s="5" t="n"/>
      <c r="G2" s="5" t="n"/>
      <c r="H2" s="5" t="n"/>
      <c r="I2" s="6" t="n"/>
      <c r="J2" s="3" t="n"/>
      <c r="K2" s="2" t="n">
        <v>1500</v>
      </c>
      <c r="L2" s="2" t="n">
        <v>1800</v>
      </c>
    </row>
    <row r="3" ht="13" customHeight="1">
      <c r="A3" s="3" t="n"/>
      <c r="B3" s="36" t="inlineStr">
        <is>
          <t>Ala Kukui · Kāmoku, Hāna, Maui</t>
        </is>
      </c>
      <c r="C3" s="5" t="n"/>
      <c r="D3" s="5" t="n"/>
      <c r="E3" s="5" t="n"/>
      <c r="F3" s="5" t="n"/>
      <c r="G3" s="5" t="n"/>
      <c r="H3" s="5" t="n"/>
      <c r="I3" s="6" t="n"/>
      <c r="J3" s="3" t="n"/>
      <c r="K3" s="2" t="n">
        <v>250</v>
      </c>
      <c r="L3" s="2" t="n">
        <v>300</v>
      </c>
    </row>
    <row r="4" ht="3" customHeight="1">
      <c r="A4" s="8" t="n"/>
      <c r="B4" s="8" t="n"/>
      <c r="C4" s="8" t="n"/>
      <c r="D4" s="8" t="n"/>
      <c r="E4" s="8" t="n"/>
      <c r="F4" s="8" t="n"/>
      <c r="G4" s="8" t="n"/>
      <c r="H4" s="8" t="n"/>
      <c r="I4" s="8" t="n"/>
      <c r="J4" s="8" t="n"/>
      <c r="K4" s="2" t="n">
        <v>250</v>
      </c>
      <c r="L4" s="2" t="n">
        <v>300</v>
      </c>
    </row>
    <row r="5" ht="16" customHeight="1">
      <c r="A5" s="3" t="n"/>
      <c r="B5" s="27" t="inlineStr">
        <is>
          <t>REFF. BY:</t>
        </is>
      </c>
      <c r="C5" s="10" t="n"/>
      <c r="D5" s="27" t="inlineStr">
        <is>
          <t>ORG TYPE:</t>
        </is>
      </c>
      <c r="E5" s="11" t="inlineStr">
        <is>
          <t>Non-Profit</t>
        </is>
      </c>
      <c r="F5" s="27" t="inlineStr">
        <is>
          <t>REPEAT:</t>
        </is>
      </c>
      <c r="G5" s="10" t="n"/>
      <c r="H5" s="27" t="inlineStr">
        <is>
          <t>PURPOSE:</t>
        </is>
      </c>
      <c r="I5" s="12" t="n"/>
      <c r="J5" s="3" t="n"/>
      <c r="K5" s="2" t="n">
        <v>75</v>
      </c>
      <c r="L5" s="2" t="n">
        <v>150</v>
      </c>
    </row>
    <row r="6" ht="4" customHeight="1">
      <c r="A6" s="3" t="n"/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2" t="n">
        <v>150</v>
      </c>
      <c r="L6" s="2" t="n">
        <v>150</v>
      </c>
    </row>
    <row r="7" ht="13" customHeight="1">
      <c r="A7" s="3" t="n"/>
      <c r="B7" s="37" t="inlineStr">
        <is>
          <t>DATES &amp; STAY</t>
        </is>
      </c>
      <c r="C7" s="38" t="n"/>
      <c r="D7" s="38" t="n"/>
      <c r="E7" s="38" t="n"/>
      <c r="F7" s="38" t="n"/>
      <c r="G7" s="38" t="n"/>
      <c r="H7" s="38" t="n"/>
      <c r="I7" s="39" t="n"/>
      <c r="J7" s="3" t="n"/>
      <c r="K7" s="2" t="n">
        <v>60</v>
      </c>
    </row>
    <row r="8" ht="16" customHeight="1">
      <c r="A8" s="3" t="n"/>
      <c r="B8" s="27" t="inlineStr">
        <is>
          <t>CHECK-IN:</t>
        </is>
      </c>
      <c r="C8" s="14" t="n"/>
      <c r="D8" s="27" t="inlineStr">
        <is>
          <t>ARRIVAL TIME:</t>
        </is>
      </c>
      <c r="E8" s="10" t="inlineStr">
        <is>
          <t>1:00 PM</t>
        </is>
      </c>
      <c r="F8" s="27" t="inlineStr">
        <is>
          <t># OF NIGHTS:</t>
        </is>
      </c>
      <c r="G8" s="15">
        <f>IF(AND(C8&lt;&gt;"",C9&lt;&gt;""),C9-C8,"")</f>
        <v/>
      </c>
      <c r="H8" s="10" t="n"/>
      <c r="I8" s="6" t="n"/>
      <c r="J8" s="3" t="n"/>
      <c r="K8" s="2" t="n">
        <v>75</v>
      </c>
    </row>
    <row r="9" ht="16" customHeight="1">
      <c r="A9" s="3" t="n"/>
      <c r="B9" s="27" t="inlineStr">
        <is>
          <t>CHECK-OUT:</t>
        </is>
      </c>
      <c r="C9" s="14" t="n"/>
      <c r="D9" s="27" t="inlineStr">
        <is>
          <t>DEPART TIME:</t>
        </is>
      </c>
      <c r="E9" s="10" t="inlineStr">
        <is>
          <t>11:00 AM</t>
        </is>
      </c>
      <c r="F9" s="27" t="inlineStr">
        <is>
          <t>VISITING FROM:</t>
        </is>
      </c>
      <c r="G9" s="10" t="n"/>
      <c r="H9" s="6" t="n"/>
      <c r="I9" s="10" t="n"/>
      <c r="J9" s="3" t="n"/>
    </row>
    <row r="10" ht="4" customHeight="1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</row>
    <row r="11" ht="13" customHeight="1">
      <c r="A11" s="3" t="n"/>
      <c r="B11" s="37" t="inlineStr">
        <is>
          <t>CONTACT INFORMATION</t>
        </is>
      </c>
      <c r="C11" s="38" t="n"/>
      <c r="D11" s="38" t="n"/>
      <c r="E11" s="38" t="n"/>
      <c r="F11" s="38" t="n"/>
      <c r="G11" s="38" t="n"/>
      <c r="H11" s="38" t="n"/>
      <c r="I11" s="39" t="n"/>
      <c r="J11" s="3" t="n"/>
    </row>
    <row r="12" ht="16" customHeight="1">
      <c r="A12" s="3" t="n"/>
      <c r="B12" s="27" t="inlineStr">
        <is>
          <t>BUSINESS / GROUP:</t>
        </is>
      </c>
      <c r="C12" s="10" t="n"/>
      <c r="D12" s="6" t="n"/>
      <c r="E12" s="27" t="inlineStr">
        <is>
          <t>CONTACT NUMBER:</t>
        </is>
      </c>
      <c r="F12" s="10" t="n"/>
      <c r="G12" s="5" t="n"/>
      <c r="H12" s="5" t="n"/>
      <c r="I12" s="6" t="n"/>
      <c r="J12" s="3" t="n"/>
    </row>
    <row r="13" ht="16" customHeight="1">
      <c r="A13" s="3" t="n"/>
      <c r="B13" s="27" t="inlineStr">
        <is>
          <t>CONTACT NAME:</t>
        </is>
      </c>
      <c r="C13" s="10" t="n"/>
      <c r="D13" s="6" t="n"/>
      <c r="E13" s="27" t="inlineStr">
        <is>
          <t>EMAIL:</t>
        </is>
      </c>
      <c r="F13" s="10" t="n"/>
      <c r="G13" s="5" t="n"/>
      <c r="H13" s="5" t="n"/>
      <c r="I13" s="6" t="n"/>
      <c r="J13" s="3" t="n"/>
    </row>
    <row r="14" ht="16" customHeight="1">
      <c r="A14" s="3" t="n"/>
      <c r="B14" s="27" t="inlineStr">
        <is>
          <t>SECOND CONTACT:</t>
        </is>
      </c>
      <c r="C14" s="10" t="n"/>
      <c r="D14" s="6" t="n"/>
      <c r="E14" s="27" t="inlineStr">
        <is>
          <t>MAILING ADDRESS:</t>
        </is>
      </c>
      <c r="F14" s="10" t="n"/>
      <c r="G14" s="5" t="n"/>
      <c r="H14" s="5" t="n"/>
      <c r="I14" s="6" t="n"/>
      <c r="J14" s="3" t="n"/>
    </row>
    <row r="15" ht="4" customHeight="1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</row>
    <row r="16" ht="13" customHeight="1">
      <c r="A16" s="3" t="n"/>
      <c r="B16" s="37" t="inlineStr">
        <is>
          <t>DETAILS</t>
        </is>
      </c>
      <c r="C16" s="38" t="n"/>
      <c r="D16" s="38" t="n"/>
      <c r="E16" s="38" t="n"/>
      <c r="F16" s="38" t="n"/>
      <c r="G16" s="38" t="n"/>
      <c r="H16" s="38" t="n"/>
      <c r="I16" s="39" t="n"/>
      <c r="J16" s="3" t="n"/>
    </row>
    <row r="17" ht="13" customHeight="1">
      <c r="A17" s="3" t="n"/>
      <c r="B17" s="16" t="inlineStr">
        <is>
          <t>✓</t>
        </is>
      </c>
      <c r="C17" s="17" t="inlineStr">
        <is>
          <t>ITEM</t>
        </is>
      </c>
      <c r="D17" s="16" t="inlineStr">
        <is>
          <t>PAX</t>
        </is>
      </c>
      <c r="E17" s="18" t="inlineStr">
        <is>
          <t>PRICE / NIGHT</t>
        </is>
      </c>
      <c r="F17" s="16" t="inlineStr">
        <is>
          <t>NIGHTS</t>
        </is>
      </c>
      <c r="G17" s="18" t="inlineStr">
        <is>
          <t>SUBTOTAL</t>
        </is>
      </c>
      <c r="H17" s="17" t="inlineStr">
        <is>
          <t>BED CONFIG / NOTES</t>
        </is>
      </c>
      <c r="I17" s="17" t="inlineStr">
        <is>
          <t>GUEST NAMES</t>
        </is>
      </c>
      <c r="J17" s="3" t="n"/>
    </row>
    <row r="18" ht="30" customHeight="1">
      <c r="A18" s="3" t="n"/>
      <c r="B18" s="19" t="n"/>
      <c r="C18" s="10" t="inlineStr">
        <is>
          <t>Retreat House</t>
        </is>
      </c>
      <c r="D18" s="20">
        <f>IF(B18="x",14,"")</f>
        <v/>
      </c>
      <c r="E18" s="21">
        <f>IF(D5="Non-Profit",K2,IF(D5="Corporate",L2,""))</f>
        <v/>
      </c>
      <c r="F18" s="20">
        <f>IF(B18="x",G8,"")</f>
        <v/>
      </c>
      <c r="G18" s="22">
        <f>IF(B18="x",E18*G8,"")</f>
        <v/>
      </c>
      <c r="H18" s="23" t="inlineStr">
        <is>
          <t>Kukui: King or 2 Twins · Pulu: 2 Twins · Ti: 2 Twins · Kiele: King or 2 Twins</t>
        </is>
      </c>
      <c r="I18" s="12" t="n"/>
      <c r="J18" s="3" t="n"/>
    </row>
    <row r="19" ht="15.75" customHeight="1">
      <c r="A19" s="3" t="n"/>
      <c r="B19" s="19" t="n"/>
      <c r="C19" s="10" t="inlineStr">
        <is>
          <t>Apartment</t>
        </is>
      </c>
      <c r="D19" s="20">
        <f>IF(B19="x",2,"")</f>
        <v/>
      </c>
      <c r="E19" s="21">
        <f>IF(D5="Non-Profit",K4,IF(D5="Corporate",L4,""))</f>
        <v/>
      </c>
      <c r="F19" s="20">
        <f>IF(B19="x",G8,"")</f>
        <v/>
      </c>
      <c r="G19" s="22">
        <f>IF(B19="x",E19*G8,"")</f>
        <v/>
      </c>
      <c r="H19" s="24" t="inlineStr">
        <is>
          <t>King or 2 Singles</t>
        </is>
      </c>
      <c r="I19" s="12" t="n"/>
      <c r="J19" s="3" t="n"/>
    </row>
    <row r="20" ht="15.75" customHeight="1">
      <c r="A20" s="3" t="n"/>
      <c r="B20" s="19" t="n"/>
      <c r="C20" s="10" t="inlineStr">
        <is>
          <t>Nahiku 1</t>
        </is>
      </c>
      <c r="D20" s="20">
        <f>IF(B20="x",2,"")</f>
        <v/>
      </c>
      <c r="E20" s="21">
        <f>IF(D5="Non-Profit",K3,IF(D5="Corporate",L3,""))</f>
        <v/>
      </c>
      <c r="F20" s="20">
        <f>IF(B20="x",G8,"")</f>
        <v/>
      </c>
      <c r="G20" s="22">
        <f>IF(B20="x",E20*G8,"")</f>
        <v/>
      </c>
      <c r="H20" s="24" t="inlineStr">
        <is>
          <t>2 Twin Beds</t>
        </is>
      </c>
      <c r="I20" s="12" t="n"/>
      <c r="J20" s="3" t="n"/>
    </row>
    <row r="21" ht="15.75" customHeight="1">
      <c r="A21" s="3" t="n"/>
      <c r="B21" s="19" t="n"/>
      <c r="C21" s="10" t="inlineStr">
        <is>
          <t>Nahiku 2</t>
        </is>
      </c>
      <c r="D21" s="20">
        <f>IF(B21="x",2,"")</f>
        <v/>
      </c>
      <c r="E21" s="21">
        <f>IF(D5="Non-Profit",K3,IF(D5="Corporate",L3,""))</f>
        <v/>
      </c>
      <c r="F21" s="20">
        <f>IF(B21="x",G8,"")</f>
        <v/>
      </c>
      <c r="G21" s="22">
        <f>IF(B21="x",E21*G8,"")</f>
        <v/>
      </c>
      <c r="H21" s="24" t="inlineStr">
        <is>
          <t>1 King Bed</t>
        </is>
      </c>
      <c r="I21" s="12" t="n"/>
      <c r="J21" s="3" t="n"/>
    </row>
    <row r="22" ht="15.75" customHeight="1">
      <c r="A22" s="3" t="n"/>
      <c r="B22" s="19" t="n"/>
      <c r="C22" s="10" t="inlineStr">
        <is>
          <t>Kipahulu 1</t>
        </is>
      </c>
      <c r="D22" s="20">
        <f>IF(B22="x",2,"")</f>
        <v/>
      </c>
      <c r="E22" s="21">
        <f>IF(D5="Non-Profit",K3,IF(D5="Corporate",L3,""))</f>
        <v/>
      </c>
      <c r="F22" s="20">
        <f>IF(B22="x",G8,"")</f>
        <v/>
      </c>
      <c r="G22" s="22">
        <f>IF(B22="x",E22*G8,"")</f>
        <v/>
      </c>
      <c r="H22" s="24" t="inlineStr">
        <is>
          <t>2 Twin Beds</t>
        </is>
      </c>
      <c r="I22" s="12" t="n"/>
      <c r="J22" s="3" t="n"/>
    </row>
    <row r="23" ht="15.75" customHeight="1">
      <c r="A23" s="3" t="n"/>
      <c r="B23" s="19" t="n"/>
      <c r="C23" s="10" t="inlineStr">
        <is>
          <t>Kipahulu 2</t>
        </is>
      </c>
      <c r="D23" s="20">
        <f>IF(B23="x",2,"")</f>
        <v/>
      </c>
      <c r="E23" s="21">
        <f>IF(D5="Non-Profit",K3,IF(D5="Corporate",L3,""))</f>
        <v/>
      </c>
      <c r="F23" s="20">
        <f>IF(B23="x",G8,"")</f>
        <v/>
      </c>
      <c r="G23" s="22">
        <f>IF(B23="x",E23*G8,"")</f>
        <v/>
      </c>
      <c r="H23" s="24" t="inlineStr">
        <is>
          <t>2 Twin Beds</t>
        </is>
      </c>
      <c r="I23" s="12" t="n"/>
      <c r="J23" s="3" t="n"/>
    </row>
    <row r="24" ht="15.75" customHeight="1">
      <c r="A24" s="3" t="n"/>
      <c r="B24" s="19" t="n"/>
      <c r="C24" s="10" t="inlineStr">
        <is>
          <t>Hālau</t>
        </is>
      </c>
      <c r="D24" s="25" t="n"/>
      <c r="E24" s="21">
        <f>IF(D5="Non-Profit",K5,IF(D5="Corporate",L5,""))</f>
        <v/>
      </c>
      <c r="F24" s="20">
        <f>IF(B24="x",G8,"")</f>
        <v/>
      </c>
      <c r="G24" s="22">
        <f>IF(B24="x",E24*G8,"")</f>
        <v/>
      </c>
      <c r="H24" s="24" t="n"/>
      <c r="I24" s="12" t="n"/>
      <c r="J24" s="3" t="n"/>
    </row>
    <row r="25" ht="15.75" customHeight="1">
      <c r="A25" s="3" t="n"/>
      <c r="B25" s="19" t="n"/>
      <c r="C25" s="10" t="inlineStr">
        <is>
          <t>Hale Kūkalā</t>
        </is>
      </c>
      <c r="D25" s="25" t="n"/>
      <c r="E25" s="21">
        <f>IF(D5="Non-Profit",K6,IF(D5="Corporate",L6,""))</f>
        <v/>
      </c>
      <c r="F25" s="20">
        <f>IF(B25="x",G8,"")</f>
        <v/>
      </c>
      <c r="G25" s="22">
        <f>IF(B25="x",E25*G8,"")</f>
        <v/>
      </c>
      <c r="H25" s="24" t="n"/>
      <c r="I25" s="12" t="n"/>
      <c r="J25" s="3" t="n"/>
    </row>
    <row r="26" ht="15.75" customHeight="1">
      <c r="A26" s="3" t="n"/>
      <c r="B26" s="19" t="n"/>
      <c r="C26" s="10" t="inlineStr">
        <is>
          <t>WiFi</t>
        </is>
      </c>
      <c r="D26" s="25" t="n"/>
      <c r="E26" s="21">
        <f>K7</f>
        <v/>
      </c>
      <c r="F26" s="20">
        <f>IF(B26="x",G8,"")</f>
        <v/>
      </c>
      <c r="G26" s="22">
        <f>IF(B26="x",K7,"")</f>
        <v/>
      </c>
      <c r="H26" s="24" t="n"/>
      <c r="I26" s="12" t="n"/>
      <c r="J26" s="3" t="n"/>
    </row>
    <row r="27" ht="15.75" customHeight="1">
      <c r="A27" s="3" t="n"/>
      <c r="B27" s="19" t="n"/>
      <c r="C27" s="10" t="inlineStr">
        <is>
          <t>One-Night Diff.</t>
        </is>
      </c>
      <c r="D27" s="25" t="n"/>
      <c r="E27" s="26">
        <f>K8</f>
        <v/>
      </c>
      <c r="F27" s="20">
        <f>IF(B27="x",G8,"")</f>
        <v/>
      </c>
      <c r="G27" s="22">
        <f>IF(B27="x",K8,"")</f>
        <v/>
      </c>
      <c r="H27" s="24" t="n"/>
      <c r="I27" s="12" t="n"/>
      <c r="J27" s="3" t="n"/>
    </row>
    <row r="28" ht="15.75" customHeight="1">
      <c r="A28" s="3" t="n"/>
      <c r="B28" s="19" t="n"/>
      <c r="C28" s="10" t="inlineStr">
        <is>
          <t>10% KOK Fee</t>
        </is>
      </c>
      <c r="D28" s="25" t="n"/>
      <c r="E28" s="26">
        <f>"10% = $"&amp;TEXT(SUMPRODUCT((B18:B27="x")*ISNUMBER(E18:E25)*E18:E25*G8+(B26="x")*K7)*0.1,"#,##0")</f>
        <v/>
      </c>
      <c r="F28" s="20">
        <f>IF(B28="x",G8,"")</f>
        <v/>
      </c>
      <c r="G28" s="22">
        <f>ROUND(SUMPRODUCT((B18:B27="x")*ISNUMBER(E18:E25)*E18:E25*G8+(B26="x")*K7)*0.1,0)</f>
        <v/>
      </c>
      <c r="H28" s="24" t="n"/>
      <c r="I28" s="12" t="n"/>
      <c r="J28" s="3" t="n"/>
    </row>
    <row r="29" ht="15.75" customHeight="1">
      <c r="A29" s="3" t="n"/>
      <c r="B29" s="19" t="n"/>
      <c r="C29" s="10" t="inlineStr">
        <is>
          <t>Security Deposit</t>
        </is>
      </c>
      <c r="D29" s="25" t="n"/>
      <c r="E29" s="26">
        <f>IF(B18="x","$350 + $50/unit","$50/unit")</f>
        <v/>
      </c>
      <c r="F29" s="20">
        <f>IF(B29="x",G8,"")</f>
        <v/>
      </c>
      <c r="G29" s="22">
        <f>IF(B18="x",350,0)+COUNTIF(B19:B23,"x")*50</f>
        <v/>
      </c>
      <c r="H29" s="24" t="n"/>
      <c r="I29" s="12" t="n"/>
      <c r="J29" s="3" t="n"/>
    </row>
    <row r="30" ht="4" customHeight="1">
      <c r="A30" s="3" t="n"/>
      <c r="B30" s="3" t="n"/>
      <c r="C30" s="3" t="n"/>
      <c r="D30" s="3" t="n"/>
      <c r="E30" s="3" t="n"/>
      <c r="F30" s="3" t="n"/>
      <c r="G30" s="3" t="n"/>
      <c r="H30" s="3" t="n"/>
      <c r="I30" s="3" t="n"/>
      <c r="J30" s="3" t="n"/>
    </row>
    <row r="31" ht="16" customHeight="1">
      <c r="A31" s="3" t="n"/>
      <c r="B31" s="27" t="inlineStr">
        <is>
          <t>TOTAL GUEST COUNT</t>
        </is>
      </c>
      <c r="C31" s="5" t="n"/>
      <c r="D31" s="5" t="n"/>
      <c r="E31" s="5" t="n"/>
      <c r="F31" s="6" t="n"/>
      <c r="G31" s="28">
        <f>IFERROR(SUM(D18:D23),"")</f>
        <v/>
      </c>
      <c r="H31" s="10" t="n"/>
      <c r="I31" s="6" t="n"/>
      <c r="J31" s="3" t="n"/>
    </row>
    <row r="32" ht="18" customHeight="1">
      <c r="A32" s="3" t="n"/>
      <c r="B32" s="29" t="inlineStr">
        <is>
          <t>RETREAT TOTAL</t>
        </is>
      </c>
      <c r="C32" s="5" t="n"/>
      <c r="D32" s="5" t="n"/>
      <c r="E32" s="5" t="n"/>
      <c r="F32" s="6" t="n"/>
      <c r="G32" s="30">
        <f>SUM(G18:G29)</f>
        <v/>
      </c>
      <c r="H32" s="10" t="n"/>
      <c r="I32" s="6" t="n"/>
      <c r="J32" s="3" t="n"/>
    </row>
    <row r="33" ht="15.75" customHeight="1">
      <c r="A33" s="3" t="n"/>
      <c r="B33" s="27" t="inlineStr">
        <is>
          <t>Processing Fees</t>
        </is>
      </c>
      <c r="C33" s="5" t="n"/>
      <c r="D33" s="5" t="n"/>
      <c r="E33" s="5" t="n"/>
      <c r="F33" s="6" t="n"/>
      <c r="G33" s="31" t="n"/>
      <c r="H33" s="10" t="n"/>
      <c r="I33" s="6" t="n"/>
      <c r="J33" s="3" t="n"/>
    </row>
    <row r="34" ht="15.75" customHeight="1">
      <c r="A34" s="3" t="n"/>
      <c r="B34" s="27" t="inlineStr">
        <is>
          <t>1st Deposit Due (50%)</t>
        </is>
      </c>
      <c r="C34" s="5" t="n"/>
      <c r="D34" s="5" t="n"/>
      <c r="E34" s="5" t="n"/>
      <c r="F34" s="6" t="n"/>
      <c r="G34" s="22">
        <f>(G32+IFERROR(G33,0))*0.5</f>
        <v/>
      </c>
      <c r="H34" s="10" t="n"/>
      <c r="I34" s="6" t="n"/>
      <c r="J34" s="3" t="n"/>
    </row>
    <row r="35" ht="15.75" customHeight="1">
      <c r="A35" s="3" t="n"/>
      <c r="B35" s="27" t="inlineStr">
        <is>
          <t>Balance Due (50%)</t>
        </is>
      </c>
      <c r="C35" s="5" t="n"/>
      <c r="D35" s="5" t="n"/>
      <c r="E35" s="5" t="n"/>
      <c r="F35" s="6" t="n"/>
      <c r="G35" s="22">
        <f>G34</f>
        <v/>
      </c>
      <c r="H35" s="10" t="n"/>
      <c r="I35" s="6" t="n"/>
      <c r="J35" s="3" t="n"/>
    </row>
    <row r="36" ht="4" customHeight="1">
      <c r="A36" s="3" t="n"/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</row>
    <row r="37" ht="13" customHeight="1">
      <c r="A37" s="3" t="n"/>
      <c r="B37" s="37" t="inlineStr">
        <is>
          <t>PAYMENTS</t>
        </is>
      </c>
      <c r="C37" s="38" t="n"/>
      <c r="D37" s="38" t="n"/>
      <c r="E37" s="38" t="n"/>
      <c r="F37" s="38" t="n"/>
      <c r="G37" s="38" t="n"/>
      <c r="H37" s="38" t="n"/>
      <c r="I37" s="39" t="n"/>
      <c r="J37" s="3" t="n"/>
    </row>
    <row r="38" ht="13" customHeight="1">
      <c r="A38" s="3" t="n"/>
      <c r="B38" s="16" t="inlineStr">
        <is>
          <t>DATE</t>
        </is>
      </c>
      <c r="C38" s="18" t="inlineStr">
        <is>
          <t>AMOUNT</t>
        </is>
      </c>
      <c r="D38" s="17" t="inlineStr">
        <is>
          <t>METHOD</t>
        </is>
      </c>
      <c r="E38" s="17" t="inlineStr">
        <is>
          <t>NOTES</t>
        </is>
      </c>
      <c r="F38" s="6" t="n"/>
      <c r="G38" s="18" t="inlineStr">
        <is>
          <t>RUNNING BALANCE</t>
        </is>
      </c>
      <c r="H38" s="5" t="n"/>
      <c r="I38" s="6" t="n"/>
      <c r="J38" s="3" t="n"/>
    </row>
    <row r="39" ht="15.75" customHeight="1">
      <c r="A39" s="3" t="n"/>
      <c r="B39" s="32" t="n"/>
      <c r="C39" s="21" t="n"/>
      <c r="D39" s="10" t="n"/>
      <c r="E39" s="12" t="n"/>
      <c r="F39" s="6" t="n"/>
      <c r="G39" s="22">
        <f>IF(C39&lt;&gt;"",G32-C39,"")</f>
        <v/>
      </c>
      <c r="H39" s="5" t="n"/>
      <c r="I39" s="6" t="n"/>
      <c r="J39" s="3" t="n"/>
    </row>
    <row r="40" ht="15.75" customHeight="1">
      <c r="A40" s="3" t="n"/>
      <c r="B40" s="32" t="n"/>
      <c r="C40" s="21" t="n"/>
      <c r="D40" s="10" t="n"/>
      <c r="E40" s="12" t="n"/>
      <c r="F40" s="6" t="n"/>
      <c r="G40" s="22">
        <f>IF(C40&lt;&gt;"",G39-C40,"")</f>
        <v/>
      </c>
      <c r="H40" s="5" t="n"/>
      <c r="I40" s="6" t="n"/>
      <c r="J40" s="3" t="n"/>
    </row>
    <row r="41" ht="15.75" customHeight="1">
      <c r="A41" s="3" t="n"/>
      <c r="B41" s="32" t="n"/>
      <c r="C41" s="21" t="n"/>
      <c r="D41" s="10" t="n"/>
      <c r="E41" s="12" t="n"/>
      <c r="F41" s="6" t="n"/>
      <c r="G41" s="22">
        <f>IF(C41&lt;&gt;"",G40-C41,"")</f>
        <v/>
      </c>
      <c r="H41" s="5" t="n"/>
      <c r="I41" s="6" t="n"/>
      <c r="J41" s="3" t="n"/>
    </row>
    <row r="42" ht="15.75" customHeight="1">
      <c r="A42" s="3" t="n"/>
      <c r="B42" s="32" t="n"/>
      <c r="C42" s="21" t="n"/>
      <c r="D42" s="10" t="n"/>
      <c r="E42" s="12" t="n"/>
      <c r="F42" s="6" t="n"/>
      <c r="G42" s="22">
        <f>IF(C42&lt;&gt;"",G41-C42,"")</f>
        <v/>
      </c>
      <c r="H42" s="5" t="n"/>
      <c r="I42" s="6" t="n"/>
      <c r="J42" s="3" t="n"/>
    </row>
    <row r="43" ht="15.75" customHeight="1">
      <c r="A43" s="3" t="n"/>
      <c r="B43" s="32" t="n"/>
      <c r="C43" s="21" t="n"/>
      <c r="D43" s="10" t="n"/>
      <c r="E43" s="12" t="n"/>
      <c r="F43" s="6" t="n"/>
      <c r="G43" s="22">
        <f>IF(C43&lt;&gt;"",G42-C43,"")</f>
        <v/>
      </c>
      <c r="H43" s="5" t="n"/>
      <c r="I43" s="6" t="n"/>
      <c r="J43" s="3" t="n"/>
    </row>
    <row r="44" ht="15.75" customHeight="1">
      <c r="A44" s="3" t="n"/>
      <c r="B44" s="32" t="n"/>
      <c r="C44" s="21" t="n"/>
      <c r="D44" s="10" t="n"/>
      <c r="E44" s="12" t="n"/>
      <c r="F44" s="6" t="n"/>
      <c r="G44" s="22">
        <f>IF(C44&lt;&gt;"",G43-C44,"")</f>
        <v/>
      </c>
      <c r="H44" s="5" t="n"/>
      <c r="I44" s="6" t="n"/>
      <c r="J44" s="3" t="n"/>
    </row>
    <row r="45" ht="4" customHeight="1">
      <c r="A45" s="3" t="n"/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</row>
    <row r="46" ht="13" customHeight="1">
      <c r="A46" s="3" t="n"/>
      <c r="B46" s="37" t="inlineStr">
        <is>
          <t>NOTES</t>
        </is>
      </c>
      <c r="C46" s="38" t="n"/>
      <c r="D46" s="38" t="n"/>
      <c r="E46" s="38" t="n"/>
      <c r="F46" s="38" t="n"/>
      <c r="G46" s="38" t="n"/>
      <c r="H46" s="38" t="n"/>
      <c r="I46" s="39" t="n"/>
      <c r="J46" s="3" t="n"/>
    </row>
    <row r="47" ht="15.75" customHeight="1">
      <c r="A47" s="3" t="n"/>
      <c r="B47" s="12" t="n"/>
      <c r="C47" s="5" t="n"/>
      <c r="D47" s="5" t="n"/>
      <c r="E47" s="5" t="n"/>
      <c r="F47" s="5" t="n"/>
      <c r="G47" s="5" t="n"/>
      <c r="H47" s="5" t="n"/>
      <c r="I47" s="6" t="n"/>
      <c r="J47" s="3" t="n"/>
    </row>
    <row r="48" ht="15.75" customHeight="1">
      <c r="A48" s="3" t="n"/>
      <c r="B48" s="12" t="n"/>
      <c r="C48" s="5" t="n"/>
      <c r="D48" s="5" t="n"/>
      <c r="E48" s="5" t="n"/>
      <c r="F48" s="5" t="n"/>
      <c r="G48" s="5" t="n"/>
      <c r="H48" s="5" t="n"/>
      <c r="I48" s="6" t="n"/>
      <c r="J48" s="3" t="n"/>
    </row>
    <row r="49" ht="15.75" customHeight="1">
      <c r="A49" s="3" t="n"/>
      <c r="B49" s="12" t="n"/>
      <c r="C49" s="5" t="n"/>
      <c r="D49" s="5" t="n"/>
      <c r="E49" s="5" t="n"/>
      <c r="F49" s="5" t="n"/>
      <c r="G49" s="5" t="n"/>
      <c r="H49" s="5" t="n"/>
      <c r="I49" s="6" t="n"/>
      <c r="J49" s="3" t="n"/>
    </row>
    <row r="50" ht="15.75" customHeight="1">
      <c r="A50" s="3" t="n"/>
      <c r="B50" s="12" t="n"/>
      <c r="C50" s="5" t="n"/>
      <c r="D50" s="5" t="n"/>
      <c r="E50" s="5" t="n"/>
      <c r="F50" s="5" t="n"/>
      <c r="G50" s="5" t="n"/>
      <c r="H50" s="5" t="n"/>
      <c r="I50" s="6" t="n"/>
      <c r="J50" s="3" t="n"/>
    </row>
    <row r="51" ht="15.75" customHeight="1">
      <c r="A51" s="3" t="n"/>
      <c r="B51" s="12" t="n"/>
      <c r="C51" s="5" t="n"/>
      <c r="D51" s="5" t="n"/>
      <c r="E51" s="5" t="n"/>
      <c r="F51" s="5" t="n"/>
      <c r="G51" s="5" t="n"/>
      <c r="H51" s="5" t="n"/>
      <c r="I51" s="6" t="n"/>
      <c r="J51" s="3" t="n"/>
    </row>
    <row r="52" ht="4" customHeight="1">
      <c r="A52" s="3" t="n"/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</row>
    <row r="53" ht="13" customHeight="1">
      <c r="A53" s="3" t="n"/>
      <c r="B53" s="37" t="inlineStr">
        <is>
          <t>BOOKING CHECKLIST</t>
        </is>
      </c>
      <c r="C53" s="38" t="n"/>
      <c r="D53" s="38" t="n"/>
      <c r="E53" s="38" t="n"/>
      <c r="F53" s="38" t="n"/>
      <c r="G53" s="38" t="n"/>
      <c r="H53" s="38" t="n"/>
      <c r="I53" s="39" t="n"/>
      <c r="J53" s="3" t="n"/>
    </row>
    <row r="54" ht="13" customHeight="1">
      <c r="A54" s="3" t="n"/>
      <c r="B54" s="16" t="inlineStr">
        <is>
          <t>✓</t>
        </is>
      </c>
      <c r="C54" s="17" t="inlineStr">
        <is>
          <t>ITEM</t>
        </is>
      </c>
      <c r="D54" s="5" t="n"/>
      <c r="E54" s="5" t="n"/>
      <c r="F54" s="5" t="n"/>
      <c r="G54" s="6" t="n"/>
      <c r="H54" s="16" t="inlineStr">
        <is>
          <t>DATE COMPLETED</t>
        </is>
      </c>
      <c r="I54" s="17" t="inlineStr">
        <is>
          <t>NOTES</t>
        </is>
      </c>
      <c r="J54" s="3" t="n"/>
    </row>
    <row r="55" ht="15.75" customHeight="1">
      <c r="A55" s="3" t="n"/>
      <c r="B55" s="19" t="n"/>
      <c r="C55" s="10" t="inlineStr">
        <is>
          <t>Invoice sent</t>
        </is>
      </c>
      <c r="D55" s="5" t="n"/>
      <c r="E55" s="5" t="n"/>
      <c r="F55" s="5" t="n"/>
      <c r="G55" s="6" t="n"/>
      <c r="H55" s="32" t="n"/>
      <c r="I55" s="12" t="n"/>
      <c r="J55" s="3" t="n"/>
    </row>
    <row r="56" ht="15.75" customHeight="1">
      <c r="A56" s="3" t="n"/>
      <c r="B56" s="19" t="n"/>
      <c r="C56" s="10" t="inlineStr">
        <is>
          <t>FUA / Terms &amp; Conditions sent</t>
        </is>
      </c>
      <c r="D56" s="5" t="n"/>
      <c r="E56" s="5" t="n"/>
      <c r="F56" s="5" t="n"/>
      <c r="G56" s="6" t="n"/>
      <c r="H56" s="32" t="n"/>
      <c r="I56" s="12" t="n"/>
      <c r="J56" s="3" t="n"/>
    </row>
    <row r="57" ht="15.75" customHeight="1">
      <c r="A57" s="3" t="n"/>
      <c r="B57" s="19" t="n"/>
      <c r="C57" s="10" t="inlineStr">
        <is>
          <t>FUA / Terms &amp; Conditions signed</t>
        </is>
      </c>
      <c r="D57" s="5" t="n"/>
      <c r="E57" s="5" t="n"/>
      <c r="F57" s="5" t="n"/>
      <c r="G57" s="6" t="n"/>
      <c r="H57" s="32" t="n"/>
      <c r="I57" s="12" t="n"/>
      <c r="J57" s="3" t="n"/>
    </row>
    <row r="58" ht="15.75" customHeight="1">
      <c r="A58" s="3" t="n"/>
      <c r="B58" s="19" t="n"/>
      <c r="C58" s="10" t="inlineStr">
        <is>
          <t>Booking Confirmation + Check-In Details sent</t>
        </is>
      </c>
      <c r="D58" s="5" t="n"/>
      <c r="E58" s="5" t="n"/>
      <c r="F58" s="5" t="n"/>
      <c r="G58" s="6" t="n"/>
      <c r="H58" s="32" t="n"/>
      <c r="I58" s="12" t="n"/>
      <c r="J58" s="3" t="n"/>
    </row>
    <row r="59" ht="15.75" customHeight="1">
      <c r="A59" s="3" t="n"/>
      <c r="B59" s="19" t="n"/>
      <c r="C59" s="10" t="inlineStr">
        <is>
          <t>Final guest count &amp; bed config received</t>
        </is>
      </c>
      <c r="D59" s="5" t="n"/>
      <c r="E59" s="5" t="n"/>
      <c r="F59" s="5" t="n"/>
      <c r="G59" s="6" t="n"/>
      <c r="H59" s="32" t="n"/>
      <c r="I59" s="12" t="n"/>
      <c r="J59" s="3" t="n"/>
    </row>
    <row r="60" ht="15.75" customHeight="1">
      <c r="A60" s="3" t="n"/>
      <c r="B60" s="19" t="n"/>
      <c r="C60" s="10" t="inlineStr">
        <is>
          <t>Balance payment received</t>
        </is>
      </c>
      <c r="D60" s="5" t="n"/>
      <c r="E60" s="5" t="n"/>
      <c r="F60" s="5" t="n"/>
      <c r="G60" s="6" t="n"/>
      <c r="H60" s="32" t="n"/>
      <c r="I60" s="12" t="n"/>
      <c r="J60" s="3" t="n"/>
    </row>
    <row r="61" ht="15.75" customHeight="1">
      <c r="A61" s="3" t="n"/>
      <c r="B61" s="19" t="n"/>
      <c r="C61" s="10" t="inlineStr">
        <is>
          <t>Security deposit received</t>
        </is>
      </c>
      <c r="D61" s="5" t="n"/>
      <c r="E61" s="5" t="n"/>
      <c r="F61" s="5" t="n"/>
      <c r="G61" s="6" t="n"/>
      <c r="H61" s="32" t="n"/>
      <c r="I61" s="12" t="n"/>
      <c r="J61" s="3" t="n"/>
    </row>
    <row r="62" ht="15.75" customHeight="1">
      <c r="A62" s="3" t="n"/>
      <c r="B62" s="19" t="n"/>
      <c r="C62" s="10" t="inlineStr">
        <is>
          <t>Security deposit refunded</t>
        </is>
      </c>
      <c r="D62" s="5" t="n"/>
      <c r="E62" s="5" t="n"/>
      <c r="F62" s="5" t="n"/>
      <c r="G62" s="6" t="n"/>
      <c r="H62" s="32" t="n"/>
      <c r="I62" s="12" t="n"/>
      <c r="J62" s="3" t="n"/>
    </row>
    <row r="63" ht="15.75" customHeight="1">
      <c r="A63" s="3" t="n"/>
      <c r="B63" s="19" t="n"/>
      <c r="C63" s="10" t="inlineStr">
        <is>
          <t>Mahalo / survey sent</t>
        </is>
      </c>
      <c r="D63" s="5" t="n"/>
      <c r="E63" s="5" t="n"/>
      <c r="F63" s="5" t="n"/>
      <c r="G63" s="6" t="n"/>
      <c r="H63" s="32" t="n"/>
      <c r="I63" s="12" t="n"/>
      <c r="J63" s="3" t="n"/>
    </row>
    <row r="64" ht="15.75" customHeight="1">
      <c r="A64" s="3" t="n"/>
      <c r="B64" s="19" t="n"/>
      <c r="C64" s="10" t="inlineStr">
        <is>
          <t>Added to Retreat Database</t>
        </is>
      </c>
      <c r="D64" s="5" t="n"/>
      <c r="E64" s="5" t="n"/>
      <c r="F64" s="5" t="n"/>
      <c r="G64" s="6" t="n"/>
      <c r="H64" s="32" t="n"/>
      <c r="I64" s="12" t="n"/>
      <c r="J64" s="3" t="n"/>
    </row>
    <row r="65" ht="4" customHeight="1">
      <c r="A65" s="3" t="n"/>
      <c r="B65" s="3" t="n"/>
      <c r="C65" s="3" t="n"/>
      <c r="D65" s="3" t="n"/>
      <c r="E65" s="3" t="n"/>
      <c r="F65" s="3" t="n"/>
      <c r="G65" s="3" t="n"/>
      <c r="H65" s="3" t="n"/>
      <c r="I65" s="3" t="n"/>
      <c r="J65" s="3" t="n"/>
    </row>
    <row r="66" ht="13" customHeight="1">
      <c r="A66" s="3" t="n"/>
      <c r="B66" s="37" t="inlineStr">
        <is>
          <t>CHECKOUT</t>
        </is>
      </c>
      <c r="C66" s="38" t="n"/>
      <c r="D66" s="38" t="n"/>
      <c r="E66" s="38" t="n"/>
      <c r="F66" s="38" t="n"/>
      <c r="G66" s="38" t="n"/>
      <c r="H66" s="38" t="n"/>
      <c r="I66" s="39" t="n"/>
      <c r="J66" s="3" t="n"/>
    </row>
    <row r="67" ht="15.75" customHeight="1">
      <c r="A67" s="3" t="n"/>
      <c r="B67" s="27" t="inlineStr">
        <is>
          <t>CHECKOUT DATE:</t>
        </is>
      </c>
      <c r="C67" s="14">
        <f>C9</f>
        <v/>
      </c>
      <c r="D67" s="27" t="inlineStr">
        <is>
          <t>SECURITY DEPOSIT MAILED:</t>
        </is>
      </c>
      <c r="E67" s="33" t="n"/>
      <c r="F67" s="27" t="inlineStr">
        <is>
          <t>INSPECTION:</t>
        </is>
      </c>
      <c r="G67" s="10" t="n"/>
      <c r="H67" s="5" t="n"/>
      <c r="I67" s="6" t="n"/>
      <c r="J67" s="3" t="n"/>
    </row>
    <row r="68" ht="4" customHeight="1">
      <c r="A68" s="3" t="n"/>
      <c r="B68" s="3" t="n"/>
      <c r="C68" s="3" t="n"/>
      <c r="D68" s="3" t="n"/>
      <c r="E68" s="3" t="n"/>
      <c r="F68" s="3" t="n"/>
      <c r="G68" s="3" t="n"/>
      <c r="H68" s="3" t="n"/>
      <c r="I68" s="3" t="n"/>
      <c r="J68" s="3" t="n"/>
    </row>
    <row r="69" ht="4" customHeight="1">
      <c r="A69" s="3" t="n"/>
      <c r="B69" s="34" t="n"/>
      <c r="C69" s="1" t="n"/>
      <c r="D69" s="1" t="n"/>
      <c r="E69" s="1" t="n"/>
      <c r="F69" s="1" t="n"/>
      <c r="G69" s="1" t="n"/>
      <c r="H69" s="1" t="n"/>
      <c r="I69" s="1" t="n"/>
      <c r="J69" s="3" t="n"/>
    </row>
    <row r="70" ht="8" customHeight="1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  <c r="AA70" s="1" t="n"/>
      <c r="AB70" s="1" t="n"/>
      <c r="AC70" s="1" t="n"/>
      <c r="AD70" s="1" t="n"/>
      <c r="AE70" s="1" t="n"/>
      <c r="AF70" s="1" t="n"/>
      <c r="AG70" s="1" t="n"/>
      <c r="AH70" s="1" t="n"/>
      <c r="AI70" s="1" t="n"/>
      <c r="AJ70" s="1" t="n"/>
      <c r="AK70" s="1" t="n"/>
      <c r="AL70" s="1" t="n"/>
      <c r="AM70" s="1" t="n"/>
      <c r="AN70" s="1" t="n"/>
      <c r="AO70" s="1" t="n"/>
      <c r="AP70" s="1" t="n"/>
      <c r="AQ70" s="1" t="n"/>
      <c r="AR70" s="1" t="n"/>
      <c r="AS70" s="1" t="n"/>
      <c r="AT70" s="1" t="n"/>
      <c r="AU70" s="1" t="n"/>
      <c r="AV70" s="1" t="n"/>
      <c r="AW70" s="1" t="n"/>
      <c r="AX70" s="1" t="n"/>
      <c r="AY70" s="1" t="n"/>
      <c r="AZ70" s="1" t="n"/>
      <c r="BA70" s="1" t="n"/>
      <c r="BB70" s="1" t="n"/>
      <c r="BC70" s="1" t="n"/>
      <c r="BD70" s="1" t="n"/>
      <c r="BE70" s="1" t="n"/>
      <c r="BF70" s="1" t="n"/>
      <c r="BG70" s="1" t="n"/>
      <c r="BH70" s="1" t="n"/>
      <c r="BI70" s="1" t="n"/>
      <c r="BJ70" s="1" t="n"/>
    </row>
    <row r="71" ht="15.75" customHeight="1">
      <c r="A71" s="3" t="n"/>
      <c r="B71" s="37" t="inlineStr">
        <is>
          <t>RETREAT DATABASE ROW  ·  Copy this row into 'ACTIVE RETREATS' in 'RETREAT DATABASE'</t>
        </is>
      </c>
      <c r="C71" s="38" t="n"/>
      <c r="D71" s="38" t="n"/>
      <c r="E71" s="38" t="n"/>
      <c r="F71" s="38" t="n"/>
      <c r="G71" s="38" t="n"/>
      <c r="H71" s="38" t="n"/>
      <c r="I71" s="38" t="n"/>
      <c r="J71" s="38" t="n"/>
      <c r="K71" s="38" t="n"/>
      <c r="L71" s="38" t="n"/>
      <c r="M71" s="38" t="n"/>
      <c r="N71" s="38" t="n"/>
      <c r="O71" s="38" t="n"/>
      <c r="P71" s="38" t="n"/>
      <c r="Q71" s="38" t="n"/>
      <c r="R71" s="38" t="n"/>
      <c r="S71" s="38" t="n"/>
      <c r="T71" s="38" t="n"/>
      <c r="U71" s="38" t="n"/>
      <c r="V71" s="38" t="n"/>
      <c r="W71" s="38" t="n"/>
      <c r="X71" s="38" t="n"/>
      <c r="Y71" s="38" t="n"/>
      <c r="Z71" s="38" t="n"/>
      <c r="AA71" s="38" t="n"/>
      <c r="AB71" s="38" t="n"/>
      <c r="AC71" s="38" t="n"/>
      <c r="AD71" s="38" t="n"/>
      <c r="AE71" s="38" t="n"/>
      <c r="AF71" s="38" t="n"/>
      <c r="AG71" s="38" t="n"/>
      <c r="AH71" s="38" t="n"/>
      <c r="AI71" s="38" t="n"/>
      <c r="AJ71" s="38" t="n"/>
      <c r="AK71" s="38" t="n"/>
      <c r="AL71" s="38" t="n"/>
      <c r="AM71" s="38" t="n"/>
      <c r="AN71" s="38" t="n"/>
      <c r="AO71" s="38" t="n"/>
      <c r="AP71" s="38" t="n"/>
      <c r="AQ71" s="38" t="n"/>
      <c r="AR71" s="38" t="n"/>
      <c r="AS71" s="38" t="n"/>
      <c r="AT71" s="38" t="n"/>
      <c r="AU71" s="38" t="n"/>
      <c r="AV71" s="38" t="n"/>
      <c r="AW71" s="38" t="n"/>
      <c r="AX71" s="38" t="n"/>
      <c r="AY71" s="38" t="n"/>
      <c r="AZ71" s="38" t="n"/>
      <c r="BA71" s="38" t="n"/>
      <c r="BB71" s="38" t="n"/>
      <c r="BC71" s="38" t="n"/>
      <c r="BD71" s="38" t="n"/>
      <c r="BE71" s="38" t="n"/>
      <c r="BF71" s="38" t="n"/>
      <c r="BG71" s="38" t="n"/>
      <c r="BH71" s="38" t="n"/>
      <c r="BI71" s="38" t="n"/>
      <c r="BJ71" s="39" t="n"/>
    </row>
    <row r="72" ht="15.75" customHeight="1">
      <c r="A72" s="3" t="n"/>
      <c r="B72" s="40" t="inlineStr">
        <is>
          <t>CHECK-IN</t>
        </is>
      </c>
      <c r="C72" s="40" t="inlineStr">
        <is>
          <t>CHECK-OUT</t>
        </is>
      </c>
      <c r="D72" s="40" t="inlineStr">
        <is>
          <t>PURPOSE</t>
        </is>
      </c>
      <c r="E72" s="40" t="inlineStr">
        <is>
          <t>HOW HEARD</t>
        </is>
      </c>
      <c r="F72" s="40" t="inlineStr">
        <is>
          <t>VISITING FROM</t>
        </is>
      </c>
      <c r="G72" s="40" t="inlineStr">
        <is>
          <t>BOOKING METHOD</t>
        </is>
      </c>
      <c r="H72" s="40" t="inlineStr">
        <is>
          <t>GROUP</t>
        </is>
      </c>
      <c r="I72" s="40" t="inlineStr">
        <is>
          <t>CONTACT LAST NAME</t>
        </is>
      </c>
      <c r="J72" s="40" t="inlineStr">
        <is>
          <t>CONTACT FIRST NAME</t>
        </is>
      </c>
      <c r="K72" s="40" t="inlineStr">
        <is>
          <t>TITLE</t>
        </is>
      </c>
      <c r="L72" s="40" t="inlineStr">
        <is>
          <t>PHONE</t>
        </is>
      </c>
      <c r="M72" s="40" t="inlineStr">
        <is>
          <t>EMAIL</t>
        </is>
      </c>
      <c r="N72" s="40" t="inlineStr">
        <is>
          <t>2ND CONTACT</t>
        </is>
      </c>
      <c r="O72" s="40" t="inlineStr">
        <is>
          <t>ADDRESS</t>
        </is>
      </c>
      <c r="P72" s="41" t="inlineStr">
        <is>
          <t>ACCOMMODATIONS</t>
        </is>
      </c>
      <c r="Q72" s="5" t="n"/>
      <c r="R72" s="5" t="n"/>
      <c r="S72" s="5" t="n"/>
      <c r="T72" s="5" t="n"/>
      <c r="U72" s="5" t="n"/>
      <c r="V72" s="5" t="n"/>
      <c r="W72" s="5" t="n"/>
      <c r="X72" s="6" t="n"/>
      <c r="Y72" s="40" t="inlineStr">
        <is>
          <t>RETREAT PRICE</t>
        </is>
      </c>
      <c r="Z72" s="40" t="inlineStr">
        <is>
          <t>SIGNED CONTRACT</t>
        </is>
      </c>
      <c r="AA72" s="40" t="inlineStr">
        <is>
          <t>PAID IN FULL</t>
        </is>
      </c>
      <c r="AB72" s="41" t="inlineStr">
        <is>
          <t>1ST DEPOSIT</t>
        </is>
      </c>
      <c r="AC72" s="6" t="n"/>
      <c r="AD72" s="41" t="inlineStr">
        <is>
          <t>2ND DEPOSIT</t>
        </is>
      </c>
      <c r="AE72" s="6" t="n"/>
      <c r="AF72" s="41" t="inlineStr">
        <is>
          <t>FINAL PAYMENT</t>
        </is>
      </c>
      <c r="AG72" s="6" t="n"/>
      <c r="AH72" s="40" t="inlineStr">
        <is>
          <t>FILED AWAY</t>
        </is>
      </c>
      <c r="AI72" s="40" t="inlineStr">
        <is>
          <t>MAIL LIST</t>
        </is>
      </c>
      <c r="AJ72" s="40" t="inlineStr">
        <is>
          <t>NOTES / COMMENTS</t>
        </is>
      </c>
      <c r="AK72" s="48" t="n"/>
      <c r="AL72" s="3" t="n"/>
      <c r="AM72" s="3" t="n"/>
      <c r="AN72" s="3" t="n"/>
      <c r="AO72" s="3" t="n"/>
      <c r="AP72" s="3" t="n"/>
      <c r="AQ72" s="3" t="n"/>
      <c r="AR72" s="3" t="n"/>
      <c r="AS72" s="3" t="n"/>
      <c r="AT72" s="3" t="n"/>
      <c r="AU72" s="3" t="n"/>
      <c r="AV72" s="3" t="n"/>
      <c r="AW72" s="3" t="n"/>
      <c r="AX72" s="3" t="n"/>
      <c r="AY72" s="3" t="n"/>
      <c r="AZ72" s="3" t="n"/>
      <c r="BA72" s="3" t="n"/>
      <c r="BB72" s="3" t="n"/>
      <c r="BC72" s="3" t="n"/>
      <c r="BD72" s="3" t="n"/>
      <c r="BE72" s="3" t="n"/>
      <c r="BF72" s="3" t="n"/>
      <c r="BG72" s="3" t="n"/>
      <c r="BH72" s="3" t="n"/>
      <c r="BI72" s="3" t="n"/>
      <c r="BJ72" s="3" t="n"/>
    </row>
    <row r="73" ht="15.75" customHeight="1">
      <c r="A73" s="3" t="n"/>
      <c r="B73" s="42" t="n"/>
      <c r="C73" s="42" t="n"/>
      <c r="D73" s="42" t="n"/>
      <c r="E73" s="42" t="n"/>
      <c r="F73" s="42" t="n"/>
      <c r="G73" s="42" t="n"/>
      <c r="H73" s="42" t="n"/>
      <c r="I73" s="42" t="n"/>
      <c r="J73" s="42" t="n"/>
      <c r="K73" s="42" t="n"/>
      <c r="L73" s="42" t="n"/>
      <c r="M73" s="42" t="n"/>
      <c r="N73" s="42" t="n"/>
      <c r="O73" s="42" t="n"/>
      <c r="P73" s="42" t="inlineStr">
        <is>
          <t>Retreat House</t>
        </is>
      </c>
      <c r="Q73" s="42" t="inlineStr">
        <is>
          <t>Nahiku</t>
        </is>
      </c>
      <c r="R73" s="42" t="inlineStr">
        <is>
          <t>Kipahulu</t>
        </is>
      </c>
      <c r="S73" s="42" t="inlineStr">
        <is>
          <t>Apartment</t>
        </is>
      </c>
      <c r="T73" s="42" t="inlineStr">
        <is>
          <t>Event Use</t>
        </is>
      </c>
      <c r="U73" s="42" t="inlineStr">
        <is>
          <t>Other</t>
        </is>
      </c>
      <c r="V73" s="42" t="inlineStr">
        <is>
          <t>✓ if yes</t>
        </is>
      </c>
      <c r="W73" s="49" t="inlineStr">
        <is>
          <t>Guests</t>
        </is>
      </c>
      <c r="X73" s="49" t="inlineStr">
        <is>
          <t>Invoice #</t>
        </is>
      </c>
      <c r="Y73" s="49" t="n"/>
      <c r="Z73" s="49" t="n"/>
      <c r="AA73" s="49" t="n"/>
      <c r="AB73" s="49" t="inlineStr">
        <is>
          <t>50%</t>
        </is>
      </c>
      <c r="AC73" s="49" t="inlineStr">
        <is>
          <t>Date</t>
        </is>
      </c>
      <c r="AD73" s="49" t="inlineStr">
        <is>
          <t>50%</t>
        </is>
      </c>
      <c r="AE73" s="49" t="inlineStr">
        <is>
          <t>Date</t>
        </is>
      </c>
      <c r="AF73" s="49" t="n"/>
      <c r="AG73" s="49" t="inlineStr">
        <is>
          <t>Date</t>
        </is>
      </c>
      <c r="AH73" s="49" t="n"/>
      <c r="AI73" s="49" t="n"/>
      <c r="AJ73" s="49" t="n"/>
      <c r="AK73" s="48" t="n"/>
      <c r="AL73" s="3" t="n"/>
      <c r="AM73" s="3" t="n"/>
      <c r="AN73" s="3" t="n"/>
      <c r="AO73" s="3" t="n"/>
      <c r="AP73" s="3" t="n"/>
      <c r="AQ73" s="3" t="n"/>
      <c r="AR73" s="3" t="n"/>
      <c r="AS73" s="3" t="n"/>
      <c r="AT73" s="3" t="n"/>
      <c r="AU73" s="3" t="n"/>
      <c r="AV73" s="3" t="n"/>
      <c r="AW73" s="3" t="n"/>
      <c r="AX73" s="3" t="n"/>
      <c r="AY73" s="3" t="n"/>
      <c r="AZ73" s="3" t="n"/>
      <c r="BA73" s="3" t="n"/>
      <c r="BB73" s="3" t="n"/>
      <c r="BC73" s="3" t="n"/>
      <c r="BD73" s="3" t="n"/>
      <c r="BE73" s="3" t="n"/>
      <c r="BF73" s="3" t="n"/>
      <c r="BG73" s="3" t="n"/>
      <c r="BH73" s="3" t="n"/>
      <c r="BI73" s="3" t="n"/>
      <c r="BJ73" s="3" t="n"/>
    </row>
    <row r="74" ht="15.75" customHeight="1">
      <c r="A74" s="3" t="n"/>
      <c r="B74" s="43">
        <f>C8</f>
        <v/>
      </c>
      <c r="C74" s="43">
        <f>C9</f>
        <v/>
      </c>
      <c r="D74" s="44">
        <f>I5</f>
        <v/>
      </c>
      <c r="E74" s="44">
        <f>C5</f>
        <v/>
      </c>
      <c r="F74" s="44">
        <f>G9</f>
        <v/>
      </c>
      <c r="G74" s="44" t="n"/>
      <c r="H74" s="44">
        <f>C11</f>
        <v/>
      </c>
      <c r="I74" s="44">
        <f>IFERROR(RIGHT(C13,LEN(C13)-FIND(" ",C13)),"")</f>
        <v/>
      </c>
      <c r="J74" s="44">
        <f>IFERROR(LEFT(C13,FIND(" ",C13)-1),"")</f>
        <v/>
      </c>
      <c r="K74" s="44" t="n"/>
      <c r="L74" s="44">
        <f>F12</f>
        <v/>
      </c>
      <c r="M74" s="44">
        <f>F13</f>
        <v/>
      </c>
      <c r="N74" s="44">
        <f>C14</f>
        <v/>
      </c>
      <c r="O74" s="44">
        <f>F14</f>
        <v/>
      </c>
      <c r="P74" s="44">
        <f>B18</f>
        <v/>
      </c>
      <c r="Q74" s="44">
        <f>IFERROR(TEXTJOIN(", ",TRUE,IF(B20="x","Nahiku 1",""),IF(B21="x","Nahiku 2","")),"")</f>
        <v/>
      </c>
      <c r="R74" s="44">
        <f>IFERROR(TEXTJOIN(", ",TRUE,IF(B22="x","Kipahulu 1",""),IF(B23="x","Kipahulu 2","")),"")</f>
        <v/>
      </c>
      <c r="S74" s="44">
        <f>B19</f>
        <v/>
      </c>
      <c r="T74" s="44">
        <f>IFERROR(TEXTJOIN(", ",TRUE,IF(B24="x","Hālau",""),IF(B25="x","Hale Kūkalā","")),"")</f>
        <v/>
      </c>
      <c r="U74" s="44" t="n"/>
      <c r="V74" s="28">
        <f>IF(D5="Non-Profit","x","")</f>
        <v/>
      </c>
      <c r="W74" s="50">
        <f>G31</f>
        <v/>
      </c>
      <c r="X74" s="51" t="n"/>
      <c r="Y74" s="52">
        <f>G32</f>
        <v/>
      </c>
      <c r="Z74" s="51">
        <f>IF(B57="x","Yes","")</f>
        <v/>
      </c>
      <c r="AA74" s="51" t="n"/>
      <c r="AB74" s="52">
        <f>G34</f>
        <v/>
      </c>
      <c r="AC74" s="53" t="n"/>
      <c r="AD74" s="52">
        <f>G35</f>
        <v/>
      </c>
      <c r="AE74" s="53" t="n"/>
      <c r="AF74" s="52" t="n"/>
      <c r="AG74" s="53" t="n"/>
      <c r="AH74" s="51" t="n"/>
      <c r="AI74" s="51" t="n"/>
      <c r="AJ74" s="51">
        <f>IFERROR(TEXTJOIN(CHAR(10),TRUE,B47:I51),"")</f>
        <v/>
      </c>
      <c r="AK74" s="48" t="n"/>
      <c r="AL74" s="3" t="n"/>
      <c r="AM74" s="3" t="n"/>
      <c r="AN74" s="3" t="n"/>
      <c r="AO74" s="3" t="n"/>
      <c r="AP74" s="3" t="n"/>
      <c r="AQ74" s="3" t="n"/>
      <c r="AR74" s="3" t="n"/>
      <c r="AS74" s="3" t="n"/>
      <c r="AT74" s="3" t="n"/>
      <c r="AU74" s="3" t="n"/>
      <c r="AV74" s="3" t="n"/>
      <c r="AW74" s="3" t="n"/>
      <c r="AX74" s="3" t="n"/>
      <c r="AY74" s="3" t="n"/>
      <c r="AZ74" s="3" t="n"/>
      <c r="BA74" s="3" t="n"/>
      <c r="BB74" s="3" t="n"/>
      <c r="BC74" s="3" t="n"/>
      <c r="BD74" s="3" t="n"/>
      <c r="BE74" s="3" t="n"/>
      <c r="BF74" s="3" t="n"/>
      <c r="BG74" s="3" t="n"/>
      <c r="BH74" s="3" t="n"/>
      <c r="BI74" s="3" t="n"/>
      <c r="BJ74" s="3" t="n"/>
    </row>
    <row r="75" ht="6" customHeight="1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  <c r="AA75" s="1" t="n"/>
      <c r="AB75" s="1" t="n"/>
      <c r="AC75" s="1" t="n"/>
      <c r="AD75" s="1" t="n"/>
      <c r="AE75" s="1" t="n"/>
      <c r="AF75" s="1" t="n"/>
      <c r="AG75" s="1" t="n"/>
      <c r="AH75" s="1" t="n"/>
      <c r="AI75" s="1" t="n"/>
      <c r="AJ75" s="1" t="n"/>
      <c r="AK75" s="1" t="n"/>
      <c r="AL75" s="1" t="n"/>
      <c r="AM75" s="1" t="n"/>
      <c r="AN75" s="1" t="n"/>
      <c r="AO75" s="1" t="n"/>
      <c r="AP75" s="1" t="n"/>
      <c r="AQ75" s="1" t="n"/>
      <c r="AR75" s="1" t="n"/>
      <c r="AS75" s="1" t="n"/>
      <c r="AT75" s="1" t="n"/>
      <c r="AU75" s="1" t="n"/>
      <c r="AV75" s="1" t="n"/>
      <c r="AW75" s="1" t="n"/>
      <c r="AX75" s="1" t="n"/>
      <c r="AY75" s="1" t="n"/>
      <c r="AZ75" s="1" t="n"/>
      <c r="BA75" s="1" t="n"/>
      <c r="BB75" s="1" t="n"/>
      <c r="BC75" s="1" t="n"/>
      <c r="BD75" s="1" t="n"/>
      <c r="BE75" s="1" t="n"/>
      <c r="BF75" s="1" t="n"/>
      <c r="BG75" s="1" t="n"/>
      <c r="BH75" s="1" t="n"/>
      <c r="BI75" s="1" t="n"/>
      <c r="BJ75" s="1" t="n"/>
    </row>
    <row r="76" ht="10" customHeight="1">
      <c r="A76" s="3" t="n"/>
      <c r="B76" s="54" t="inlineStr">
        <is>
          <t>Ala Kukui · P.O. Box 489, Hāna, HI 96713 · contact@alakukui.org · (808) 248-7841</t>
        </is>
      </c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  <c r="P76" s="5" t="n"/>
      <c r="Q76" s="5" t="n"/>
      <c r="R76" s="5" t="n"/>
      <c r="S76" s="5" t="n"/>
      <c r="T76" s="5" t="n"/>
      <c r="U76" s="5" t="n"/>
      <c r="V76" s="5" t="n"/>
      <c r="W76" s="5" t="n"/>
      <c r="X76" s="5" t="n"/>
      <c r="Y76" s="5" t="n"/>
      <c r="Z76" s="5" t="n"/>
      <c r="AA76" s="5" t="n"/>
      <c r="AB76" s="5" t="n"/>
      <c r="AC76" s="5" t="n"/>
      <c r="AD76" s="5" t="n"/>
      <c r="AE76" s="5" t="n"/>
      <c r="AF76" s="5" t="n"/>
      <c r="AG76" s="5" t="n"/>
      <c r="AH76" s="5" t="n"/>
      <c r="AI76" s="6" t="n"/>
    </row>
    <row r="77" ht="15.75" customHeight="1">
      <c r="A77" s="3" t="n"/>
      <c r="B77" s="3" t="n"/>
      <c r="C77" s="3" t="n"/>
      <c r="D77" s="3" t="n"/>
      <c r="E77" s="3" t="n"/>
      <c r="F77" s="3" t="n"/>
      <c r="G77" s="3" t="n"/>
      <c r="H77" s="3" t="n"/>
      <c r="I77" s="3" t="n"/>
      <c r="J77" s="3" t="n"/>
    </row>
  </sheetData>
  <mergeCells count="64">
    <mergeCell ref="E43:F43"/>
    <mergeCell ref="G38:I38"/>
    <mergeCell ref="F13:I13"/>
    <mergeCell ref="H35:I35"/>
    <mergeCell ref="P72:X72"/>
    <mergeCell ref="B7:I7"/>
    <mergeCell ref="C62:G62"/>
    <mergeCell ref="B47:I47"/>
    <mergeCell ref="B16:I16"/>
    <mergeCell ref="C58:G58"/>
    <mergeCell ref="E42:F42"/>
    <mergeCell ref="B3:I3"/>
    <mergeCell ref="C14:D14"/>
    <mergeCell ref="B31:F31"/>
    <mergeCell ref="B66:I66"/>
    <mergeCell ref="H31:I31"/>
    <mergeCell ref="B46:I46"/>
    <mergeCell ref="E39:F39"/>
    <mergeCell ref="E44:F44"/>
    <mergeCell ref="C64:G64"/>
    <mergeCell ref="F14:I14"/>
    <mergeCell ref="H34:I34"/>
    <mergeCell ref="E38:F38"/>
    <mergeCell ref="B48:I48"/>
    <mergeCell ref="B11:I11"/>
    <mergeCell ref="C54:G54"/>
    <mergeCell ref="B2:I2"/>
    <mergeCell ref="C63:G63"/>
    <mergeCell ref="AB72:AC72"/>
    <mergeCell ref="B76:AI76"/>
    <mergeCell ref="C55:G55"/>
    <mergeCell ref="E40:F40"/>
    <mergeCell ref="C56:G56"/>
    <mergeCell ref="C12:D12"/>
    <mergeCell ref="C59:G59"/>
    <mergeCell ref="B53:I53"/>
    <mergeCell ref="G44:I44"/>
    <mergeCell ref="G41:I41"/>
    <mergeCell ref="B34:F34"/>
    <mergeCell ref="H32:I32"/>
    <mergeCell ref="C60:G60"/>
    <mergeCell ref="F12:I12"/>
    <mergeCell ref="G40:I40"/>
    <mergeCell ref="B37:I37"/>
    <mergeCell ref="C61:G61"/>
    <mergeCell ref="G43:I43"/>
    <mergeCell ref="B49:I49"/>
    <mergeCell ref="G42:I42"/>
    <mergeCell ref="B33:F33"/>
    <mergeCell ref="E41:F41"/>
    <mergeCell ref="B51:I51"/>
    <mergeCell ref="G67:I67"/>
    <mergeCell ref="H33:I33"/>
    <mergeCell ref="G39:I39"/>
    <mergeCell ref="B71:BJ71"/>
    <mergeCell ref="C57:G57"/>
    <mergeCell ref="AD72:AE72"/>
    <mergeCell ref="AF72:AG72"/>
    <mergeCell ref="C13:D13"/>
    <mergeCell ref="H8:I8"/>
    <mergeCell ref="B32:F32"/>
    <mergeCell ref="G9:H9"/>
    <mergeCell ref="B50:I50"/>
    <mergeCell ref="B35:F35"/>
  </mergeCells>
  <pageMargins left="0.4" right="0.4" top="0.4" bottom="0.4" header="0.2" footer="0.2"/>
  <pageSetup orientation="portrait" paperSize="1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2026-03-20T18:16:26Z</dcterms:created>
  <dcterms:modified xmlns:dcterms="http://purl.org/dc/terms/" xmlns:xsi="http://www.w3.org/2001/XMLSchema-instance" xsi:type="dcterms:W3CDTF">2026-03-20T23:31:22Z</dcterms:modified>
</cp:coreProperties>
</file>